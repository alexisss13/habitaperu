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ncipal\Desarrollador\Proyectos\Boceto-HabitaPeru\habita-peru\"/>
    </mc:Choice>
  </mc:AlternateContent>
  <xr:revisionPtr revIDLastSave="0" documentId="8_{824B3572-0D8B-478D-B9EF-316C7941FD01}" xr6:coauthVersionLast="47" xr6:coauthVersionMax="47" xr10:uidLastSave="{00000000-0000-0000-0000-000000000000}"/>
  <bookViews>
    <workbookView xWindow="-120" yWindow="-120" windowWidth="29040" windowHeight="15720" xr2:uid="{51CAFC47-A217-4513-9B2C-2FF5F40688B0}"/>
  </bookViews>
  <sheets>
    <sheet name="Costos" sheetId="3" r:id="rId1"/>
    <sheet name="Fuentes de Ingreso" sheetId="2" r:id="rId2"/>
    <sheet name="Flujo Financiero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D17" i="1"/>
  <c r="C17" i="1"/>
  <c r="B17" i="1"/>
</calcChain>
</file>

<file path=xl/sharedStrings.xml><?xml version="1.0" encoding="utf-8"?>
<sst xmlns="http://schemas.openxmlformats.org/spreadsheetml/2006/main" count="96" uniqueCount="83">
  <si>
    <t>HABITA PERÚ — MODELO FINANCIERO</t>
  </si>
  <si>
    <t>Equipo: 3 estudiantes | Capital inicial: S/ 0 | Ciudad: Trujillo</t>
  </si>
  <si>
    <t>Mes</t>
  </si>
  <si>
    <t>Ingresos (S/)</t>
  </si>
  <si>
    <t>Gastos (S/)</t>
  </si>
  <si>
    <t>Flujo (S/)</t>
  </si>
  <si>
    <t>Acumulado (S/)</t>
  </si>
  <si>
    <t>Detalle</t>
  </si>
  <si>
    <t>Mes 1</t>
  </si>
  <si>
    <t>Construcción MVP</t>
  </si>
  <si>
    <t>Mes 2</t>
  </si>
  <si>
    <t>Desarrollo LegalTech</t>
  </si>
  <si>
    <t>Mes 3</t>
  </si>
  <si>
    <t>Lanzamiento + outreach manual</t>
  </si>
  <si>
    <t>Mes 4</t>
  </si>
  <si>
    <t>Primeros success fees + dominio</t>
  </si>
  <si>
    <t>Mes 5</t>
  </si>
  <si>
    <t>3-5 contratos concretados</t>
  </si>
  <si>
    <t>Mes 6</t>
  </si>
  <si>
    <t>KYC fees + featured listings</t>
  </si>
  <si>
    <t>Mes 7</t>
  </si>
  <si>
    <t>Plan Pro (mes 6+) activado</t>
  </si>
  <si>
    <t>Mes 8</t>
  </si>
  <si>
    <t>Crecimiento orgánico</t>
  </si>
  <si>
    <t>Mes 9</t>
  </si>
  <si>
    <t>Expansión Chiclayo</t>
  </si>
  <si>
    <t>Mes 10</t>
  </si>
  <si>
    <t>Marketing ads</t>
  </si>
  <si>
    <t>Mes 11</t>
  </si>
  <si>
    <t>Plan Business temprano</t>
  </si>
  <si>
    <t>Mes 12</t>
  </si>
  <si>
    <t>120 propiedades activas</t>
  </si>
  <si>
    <t>TOTAL</t>
  </si>
  <si>
    <t>FUENTES DE INGRESO — HABITA PERÚ</t>
  </si>
  <si>
    <t>Fuente</t>
  </si>
  <si>
    <t>Quién paga</t>
  </si>
  <si>
    <t>Monto</t>
  </si>
  <si>
    <t>Frecuencia</t>
  </si>
  <si>
    <t>Activación</t>
  </si>
  <si>
    <t>Success Fee</t>
  </si>
  <si>
    <t>Arrendador</t>
  </si>
  <si>
    <t>S/ 29</t>
  </si>
  <si>
    <t>Por contrato firmado</t>
  </si>
  <si>
    <t>Mes 3+</t>
  </si>
  <si>
    <t>KYC Fee</t>
  </si>
  <si>
    <t>Inquilino</t>
  </si>
  <si>
    <t>S/ 9.90</t>
  </si>
  <si>
    <t>Único</t>
  </si>
  <si>
    <t>Featured Listing (7d)</t>
  </si>
  <si>
    <t>S/ 15</t>
  </si>
  <si>
    <t>Semanal</t>
  </si>
  <si>
    <t>Featured Listing (15d)</t>
  </si>
  <si>
    <t>S/ 25</t>
  </si>
  <si>
    <t>Quincenal</t>
  </si>
  <si>
    <t>Featured Listing (30d)</t>
  </si>
  <si>
    <t>S/ 45</t>
  </si>
  <si>
    <t>Mensual</t>
  </si>
  <si>
    <t>Plan Pro</t>
  </si>
  <si>
    <t>Arrendador (4+ prop.)</t>
  </si>
  <si>
    <t>S/ 49</t>
  </si>
  <si>
    <t>Mes 6+</t>
  </si>
  <si>
    <t>Plan Business</t>
  </si>
  <si>
    <t>Arrendador (ilimitado)</t>
  </si>
  <si>
    <t>S/ 129</t>
  </si>
  <si>
    <t>COSTOS OPERATIVOS</t>
  </si>
  <si>
    <t>Concepto</t>
  </si>
  <si>
    <t>Costo</t>
  </si>
  <si>
    <t>Notas</t>
  </si>
  <si>
    <t>Dominio habitaperu.pe</t>
  </si>
  <si>
    <t>S/ 60/año (S/5/mes)</t>
  </si>
  <si>
    <t>Solo gasto fijo real</t>
  </si>
  <si>
    <t>Vercel (Hobby)</t>
  </si>
  <si>
    <t>S/ 0</t>
  </si>
  <si>
    <t>Free tier meses 0-9</t>
  </si>
  <si>
    <t>Neon (DB)</t>
  </si>
  <si>
    <t>Free tier hasta 0.5GB</t>
  </si>
  <si>
    <t>Cloudinary</t>
  </si>
  <si>
    <t>Free tier 25GB</t>
  </si>
  <si>
    <t>Resend (emails)</t>
  </si>
  <si>
    <t>Free tier 3000/mes</t>
  </si>
  <si>
    <t>Infraestructura total</t>
  </si>
  <si>
    <t>S/ 5-10/mes</t>
  </si>
  <si>
    <t>Dominio +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</si>
</sst>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D604-F096-4F62-A57F-AD93A713FCBF}">
  <dimension ref="A1:C9"/>
  <sheetViews>
    <sheetView tabSelected="1" workbookViewId="0"/>
  </sheetViews>
  <sheetFormatPr baseColWidth="10" defaultRowHeight="15" x14ac:dyDescent="0.25"/>
  <cols>
    <col min="1" max="1" width="25.7109375" bestFit="1" customWidth="1"/>
    <col min="2" max="2" width="18.85546875" bestFit="1" customWidth="1"/>
    <col min="3" max="3" width="19.28515625" bestFit="1" customWidth="1"/>
  </cols>
  <sheetData>
    <row r="1" spans="1:3" ht="18.75" x14ac:dyDescent="0.3">
      <c r="A1" s="2" t="s">
        <v>64</v>
      </c>
      <c r="B1" s="2"/>
      <c r="C1" s="2"/>
    </row>
    <row r="3" spans="1:3" x14ac:dyDescent="0.25">
      <c r="A3" s="4" t="s">
        <v>65</v>
      </c>
      <c r="B3" s="4" t="s">
        <v>66</v>
      </c>
      <c r="C3" s="4" t="s">
        <v>67</v>
      </c>
    </row>
    <row r="4" spans="1:3" x14ac:dyDescent="0.25">
      <c r="A4" t="s">
        <v>68</v>
      </c>
      <c r="B4" t="s">
        <v>69</v>
      </c>
      <c r="C4" t="s">
        <v>70</v>
      </c>
    </row>
    <row r="5" spans="1:3" x14ac:dyDescent="0.25">
      <c r="A5" t="s">
        <v>71</v>
      </c>
      <c r="B5" t="s">
        <v>72</v>
      </c>
      <c r="C5" t="s">
        <v>73</v>
      </c>
    </row>
    <row r="6" spans="1:3" x14ac:dyDescent="0.25">
      <c r="A6" t="s">
        <v>74</v>
      </c>
      <c r="B6" t="s">
        <v>72</v>
      </c>
      <c r="C6" t="s">
        <v>75</v>
      </c>
    </row>
    <row r="7" spans="1:3" x14ac:dyDescent="0.25">
      <c r="A7" t="s">
        <v>76</v>
      </c>
      <c r="B7" t="s">
        <v>72</v>
      </c>
      <c r="C7" t="s">
        <v>77</v>
      </c>
    </row>
    <row r="8" spans="1:3" x14ac:dyDescent="0.25">
      <c r="A8" t="s">
        <v>78</v>
      </c>
      <c r="B8" t="s">
        <v>72</v>
      </c>
      <c r="C8" t="s">
        <v>79</v>
      </c>
    </row>
    <row r="9" spans="1:3" x14ac:dyDescent="0.25">
      <c r="A9" t="s">
        <v>80</v>
      </c>
      <c r="B9" t="s">
        <v>81</v>
      </c>
      <c r="C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9217-75BD-479D-85F5-FC29D36718F1}">
  <dimension ref="A1:E10"/>
  <sheetViews>
    <sheetView workbookViewId="0"/>
  </sheetViews>
  <sheetFormatPr baseColWidth="10" defaultRowHeight="15" x14ac:dyDescent="0.25"/>
  <cols>
    <col min="1" max="1" width="45.42578125" bestFit="1" customWidth="1"/>
    <col min="2" max="2" width="21.28515625" bestFit="1" customWidth="1"/>
    <col min="3" max="3" width="7" bestFit="1" customWidth="1"/>
    <col min="4" max="4" width="19.42578125" bestFit="1" customWidth="1"/>
    <col min="5" max="5" width="10.140625" bestFit="1" customWidth="1"/>
  </cols>
  <sheetData>
    <row r="1" spans="1:5" ht="18.75" x14ac:dyDescent="0.3">
      <c r="A1" s="2" t="s">
        <v>33</v>
      </c>
      <c r="B1" s="2"/>
      <c r="C1" s="2"/>
      <c r="D1" s="2"/>
      <c r="E1" s="2"/>
    </row>
    <row r="3" spans="1:5" x14ac:dyDescent="0.2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</row>
    <row r="4" spans="1:5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</row>
    <row r="5" spans="1:5" x14ac:dyDescent="0.25">
      <c r="A5" t="s">
        <v>44</v>
      </c>
      <c r="B5" t="s">
        <v>45</v>
      </c>
      <c r="C5" t="s">
        <v>46</v>
      </c>
      <c r="D5" t="s">
        <v>47</v>
      </c>
      <c r="E5" t="s">
        <v>43</v>
      </c>
    </row>
    <row r="6" spans="1:5" x14ac:dyDescent="0.25">
      <c r="A6" t="s">
        <v>48</v>
      </c>
      <c r="B6" t="s">
        <v>40</v>
      </c>
      <c r="C6" t="s">
        <v>49</v>
      </c>
      <c r="D6" t="s">
        <v>50</v>
      </c>
      <c r="E6" t="s">
        <v>43</v>
      </c>
    </row>
    <row r="7" spans="1:5" x14ac:dyDescent="0.25">
      <c r="A7" t="s">
        <v>51</v>
      </c>
      <c r="B7" t="s">
        <v>40</v>
      </c>
      <c r="C7" t="s">
        <v>52</v>
      </c>
      <c r="D7" t="s">
        <v>53</v>
      </c>
      <c r="E7" t="s">
        <v>43</v>
      </c>
    </row>
    <row r="8" spans="1:5" x14ac:dyDescent="0.25">
      <c r="A8" t="s">
        <v>54</v>
      </c>
      <c r="B8" t="s">
        <v>40</v>
      </c>
      <c r="C8" t="s">
        <v>55</v>
      </c>
      <c r="D8" t="s">
        <v>56</v>
      </c>
      <c r="E8" t="s">
        <v>43</v>
      </c>
    </row>
    <row r="9" spans="1:5" x14ac:dyDescent="0.25">
      <c r="A9" t="s">
        <v>57</v>
      </c>
      <c r="B9" t="s">
        <v>58</v>
      </c>
      <c r="C9" t="s">
        <v>59</v>
      </c>
      <c r="D9" t="s">
        <v>56</v>
      </c>
      <c r="E9" t="s">
        <v>60</v>
      </c>
    </row>
    <row r="10" spans="1:5" x14ac:dyDescent="0.25">
      <c r="A10" t="s">
        <v>61</v>
      </c>
      <c r="B10" t="s">
        <v>62</v>
      </c>
      <c r="C10" t="s">
        <v>63</v>
      </c>
      <c r="D10" t="s">
        <v>56</v>
      </c>
      <c r="E1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99B7-4A3F-40FD-AEEA-2A74B2E7F8D0}">
  <dimension ref="A1:F17"/>
  <sheetViews>
    <sheetView workbookViewId="0"/>
  </sheetViews>
  <sheetFormatPr baseColWidth="10" defaultRowHeight="15" x14ac:dyDescent="0.25"/>
  <cols>
    <col min="1" max="1" width="53.7109375" bestFit="1" customWidth="1"/>
    <col min="2" max="2" width="12.140625" bestFit="1" customWidth="1"/>
    <col min="3" max="3" width="10.7109375" bestFit="1" customWidth="1"/>
    <col min="4" max="4" width="9.140625" bestFit="1" customWidth="1"/>
    <col min="5" max="5" width="14.7109375" bestFit="1" customWidth="1"/>
    <col min="6" max="6" width="30" bestFit="1" customWidth="1"/>
  </cols>
  <sheetData>
    <row r="1" spans="1:6" ht="18.75" x14ac:dyDescent="0.3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 t="s">
        <v>9</v>
      </c>
    </row>
    <row r="6" spans="1:6" x14ac:dyDescent="0.25">
      <c r="A6" t="s">
        <v>10</v>
      </c>
      <c r="B6">
        <v>0</v>
      </c>
      <c r="C6">
        <v>0</v>
      </c>
      <c r="D6">
        <v>0</v>
      </c>
      <c r="E6">
        <v>0</v>
      </c>
      <c r="F6" t="s">
        <v>11</v>
      </c>
    </row>
    <row r="7" spans="1:6" x14ac:dyDescent="0.25">
      <c r="A7" t="s">
        <v>12</v>
      </c>
      <c r="B7">
        <v>0</v>
      </c>
      <c r="C7">
        <v>0</v>
      </c>
      <c r="D7">
        <v>0</v>
      </c>
      <c r="E7">
        <v>0</v>
      </c>
      <c r="F7" t="s">
        <v>13</v>
      </c>
    </row>
    <row r="8" spans="1:6" x14ac:dyDescent="0.25">
      <c r="A8" t="s">
        <v>14</v>
      </c>
      <c r="B8">
        <v>150</v>
      </c>
      <c r="C8">
        <v>60</v>
      </c>
      <c r="D8">
        <v>90</v>
      </c>
      <c r="E8">
        <v>90</v>
      </c>
      <c r="F8" t="s">
        <v>15</v>
      </c>
    </row>
    <row r="9" spans="1:6" x14ac:dyDescent="0.25">
      <c r="A9" t="s">
        <v>16</v>
      </c>
      <c r="B9">
        <v>300</v>
      </c>
      <c r="C9">
        <v>100</v>
      </c>
      <c r="D9">
        <v>200</v>
      </c>
      <c r="E9">
        <v>290</v>
      </c>
      <c r="F9" t="s">
        <v>17</v>
      </c>
    </row>
    <row r="10" spans="1:6" x14ac:dyDescent="0.25">
      <c r="A10" t="s">
        <v>18</v>
      </c>
      <c r="B10">
        <v>500</v>
      </c>
      <c r="C10">
        <v>150</v>
      </c>
      <c r="D10">
        <v>350</v>
      </c>
      <c r="E10">
        <v>640</v>
      </c>
      <c r="F10" t="s">
        <v>19</v>
      </c>
    </row>
    <row r="11" spans="1:6" x14ac:dyDescent="0.25">
      <c r="A11" t="s">
        <v>20</v>
      </c>
      <c r="B11">
        <v>800</v>
      </c>
      <c r="C11">
        <v>300</v>
      </c>
      <c r="D11">
        <v>500</v>
      </c>
      <c r="E11">
        <v>1140</v>
      </c>
      <c r="F11" t="s">
        <v>21</v>
      </c>
    </row>
    <row r="12" spans="1:6" x14ac:dyDescent="0.25">
      <c r="A12" t="s">
        <v>22</v>
      </c>
      <c r="B12">
        <v>1100</v>
      </c>
      <c r="C12">
        <v>450</v>
      </c>
      <c r="D12">
        <v>650</v>
      </c>
      <c r="E12">
        <v>1790</v>
      </c>
      <c r="F12" t="s">
        <v>23</v>
      </c>
    </row>
    <row r="13" spans="1:6" x14ac:dyDescent="0.25">
      <c r="A13" t="s">
        <v>24</v>
      </c>
      <c r="B13">
        <v>1500</v>
      </c>
      <c r="C13">
        <v>600</v>
      </c>
      <c r="D13">
        <v>900</v>
      </c>
      <c r="E13">
        <v>2690</v>
      </c>
      <c r="F13" t="s">
        <v>25</v>
      </c>
    </row>
    <row r="14" spans="1:6" x14ac:dyDescent="0.25">
      <c r="A14" t="s">
        <v>26</v>
      </c>
      <c r="B14">
        <v>2000</v>
      </c>
      <c r="C14">
        <v>750</v>
      </c>
      <c r="D14">
        <v>1250</v>
      </c>
      <c r="E14">
        <v>3940</v>
      </c>
      <c r="F14" t="s">
        <v>27</v>
      </c>
    </row>
    <row r="15" spans="1:6" x14ac:dyDescent="0.25">
      <c r="A15" t="s">
        <v>28</v>
      </c>
      <c r="B15">
        <v>2500</v>
      </c>
      <c r="C15">
        <v>900</v>
      </c>
      <c r="D15">
        <v>1600</v>
      </c>
      <c r="E15">
        <v>5540</v>
      </c>
      <c r="F15" t="s">
        <v>29</v>
      </c>
    </row>
    <row r="16" spans="1:6" x14ac:dyDescent="0.25">
      <c r="A16" t="s">
        <v>30</v>
      </c>
      <c r="B16">
        <v>3200</v>
      </c>
      <c r="C16">
        <v>1100</v>
      </c>
      <c r="D16">
        <v>2100</v>
      </c>
      <c r="E16">
        <v>7640</v>
      </c>
      <c r="F16" t="s">
        <v>31</v>
      </c>
    </row>
    <row r="17" spans="1:6" x14ac:dyDescent="0.25">
      <c r="A17" s="1" t="s">
        <v>32</v>
      </c>
      <c r="B17" s="1">
        <f>SUM(B5:B16)</f>
        <v>12050</v>
      </c>
      <c r="C17" s="1">
        <f>SUM(C5:C16)</f>
        <v>4410</v>
      </c>
      <c r="D17" s="1">
        <f>B17-C17</f>
        <v>7640</v>
      </c>
      <c r="E17" s="1">
        <f>SUM(D5:D16)</f>
        <v>7640</v>
      </c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Fuentes de Ingreso</vt:lpstr>
      <vt:lpstr>Flujo Financiero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Jaren Levano Dominguez</dc:creator>
  <cp:lastModifiedBy>Alexis Jaren Levano Dominguez</cp:lastModifiedBy>
  <dcterms:created xsi:type="dcterms:W3CDTF">2026-06-27T22:35:21Z</dcterms:created>
  <dcterms:modified xsi:type="dcterms:W3CDTF">2026-06-27T22:35:24Z</dcterms:modified>
</cp:coreProperties>
</file>